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96768c7cfc7d8/Desktop/Curso_Excel/Projeto_Investimento/"/>
    </mc:Choice>
  </mc:AlternateContent>
  <xr:revisionPtr revIDLastSave="378" documentId="8_{F5CA1648-EED1-41CD-A435-71CCAE417033}" xr6:coauthVersionLast="47" xr6:coauthVersionMax="47" xr10:uidLastSave="{E54A71A5-EEC6-4D25-B594-84F8A3C9C846}"/>
  <bookViews>
    <workbookView xWindow="-108" yWindow="-108" windowWidth="23256" windowHeight="12576" activeTab="1" xr2:uid="{2619A0EE-67C0-41EA-8F77-70D42CACB652}"/>
  </bookViews>
  <sheets>
    <sheet name="APP_Eduardo_Moura" sheetId="1" r:id="rId1"/>
    <sheet name="Planilha_Apoio_Eduardo_Moura" sheetId="2" r:id="rId2"/>
  </sheets>
  <definedNames>
    <definedName name="aporte">APP_Eduardo_Moura!$D$17</definedName>
    <definedName name="patrimonio">APP_Eduardo_Moura!$D$20</definedName>
    <definedName name="qtd_anos">APP_Eduardo_Moura!$D$18</definedName>
    <definedName name="rendimento_carteira">APP_Eduardo_Moura!$D$13</definedName>
    <definedName name="salario">APP_Eduardo_Moura!$D$12</definedName>
    <definedName name="sugestao_investimento">APP_Eduardo_Moura!$D$14</definedName>
    <definedName name="taxa_mensal">APP_Eduardo_Moura!$D$19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4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33" i="1" l="1"/>
  <c r="D40" i="1" s="1"/>
  <c r="D14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38" i="1" l="1"/>
  <c r="D36" i="1"/>
  <c r="D37" i="1"/>
  <c r="D39" i="1"/>
  <c r="D41" i="1"/>
</calcChain>
</file>

<file path=xl/sharedStrings.xml><?xml version="1.0" encoding="utf-8"?>
<sst xmlns="http://schemas.openxmlformats.org/spreadsheetml/2006/main" count="71" uniqueCount="34">
  <si>
    <t>Quanto investir por mês</t>
  </si>
  <si>
    <t>Por Quantos anos</t>
  </si>
  <si>
    <t>Taxa de Rendimento Mensal</t>
  </si>
  <si>
    <t>Patrimônio Acumulado</t>
  </si>
  <si>
    <t>Dividendos Mensais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</si>
  <si>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</si>
  <si>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</si>
  <si>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</si>
  <si>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</si>
  <si>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</si>
  <si>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</si>
  <si>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</si>
  <si>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</si>
  <si>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</si>
  <si>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</si>
  <si>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</si>
  <si>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</si>
  <si>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</si>
  <si>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</si>
  <si>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</si>
  <si>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</si>
  <si>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</si>
  <si>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</si>
  <si>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</si>
  <si>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</si>
  <si>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</si>
  <si>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FOFs</t>
  </si>
  <si>
    <t>DESENVOLVIMENTO</t>
  </si>
  <si>
    <t>HOTELARIAS</t>
  </si>
  <si>
    <t>CHAVE</t>
  </si>
  <si>
    <t>%</t>
  </si>
  <si>
    <t>HÍBRIDOS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</si>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</sst>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20"/>
      <color theme="0"/>
      <name val="Segoe UI Semibold"/>
      <family val="2"/>
    </font>
    <font>
      <b/>
      <sz val="11"/>
      <color theme="0"/>
      <name val="Segoe UI Semibold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4.9989318521683403E-2"/>
      </left>
      <right style="medium">
        <color indexed="64"/>
      </right>
      <top style="medium">
        <color theme="0" tint="-0.14996795556505021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medium">
        <color theme="0" tint="-0.149967955565050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 tint="-0.14996795556505021"/>
      </top>
      <bottom style="thin">
        <color theme="0" tint="-4.9989318521683403E-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theme="0" tint="-0.14996795556505021"/>
      </top>
      <bottom style="thin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5" fillId="4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4" fillId="2" borderId="7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indent="3"/>
    </xf>
    <xf numFmtId="8" fontId="11" fillId="3" borderId="16" xfId="0" applyNumberFormat="1" applyFont="1" applyFill="1" applyBorder="1" applyAlignment="1">
      <alignment horizontal="center"/>
    </xf>
    <xf numFmtId="8" fontId="11" fillId="3" borderId="8" xfId="0" applyNumberFormat="1" applyFont="1" applyFill="1" applyBorder="1" applyAlignment="1">
      <alignment horizontal="center"/>
    </xf>
    <xf numFmtId="0" fontId="9" fillId="3" borderId="9" xfId="0" applyFont="1" applyFill="1" applyBorder="1" applyAlignment="1">
      <alignment horizontal="left" indent="3"/>
    </xf>
    <xf numFmtId="8" fontId="11" fillId="3" borderId="10" xfId="0" applyNumberFormat="1" applyFont="1" applyFill="1" applyBorder="1" applyAlignment="1">
      <alignment horizontal="center"/>
    </xf>
    <xf numFmtId="8" fontId="11" fillId="3" borderId="11" xfId="0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left" indent="3"/>
    </xf>
    <xf numFmtId="8" fontId="11" fillId="3" borderId="13" xfId="0" applyNumberFormat="1" applyFont="1" applyFill="1" applyBorder="1" applyAlignment="1">
      <alignment horizontal="center"/>
    </xf>
    <xf numFmtId="8" fontId="11" fillId="3" borderId="14" xfId="0" applyNumberFormat="1" applyFont="1" applyFill="1" applyBorder="1" applyAlignment="1">
      <alignment horizontal="center"/>
    </xf>
    <xf numFmtId="0" fontId="9" fillId="6" borderId="18" xfId="0" applyFont="1" applyFill="1" applyBorder="1" applyAlignment="1">
      <alignment horizontal="left" indent="3"/>
    </xf>
    <xf numFmtId="0" fontId="9" fillId="6" borderId="19" xfId="0" applyFont="1" applyFill="1" applyBorder="1" applyAlignment="1">
      <alignment horizontal="left" indent="3"/>
    </xf>
    <xf numFmtId="164" fontId="9" fillId="0" borderId="20" xfId="1" applyNumberFormat="1" applyFont="1" applyBorder="1" applyAlignment="1">
      <alignment horizontal="center"/>
    </xf>
    <xf numFmtId="0" fontId="9" fillId="6" borderId="21" xfId="0" applyFont="1" applyFill="1" applyBorder="1" applyAlignment="1">
      <alignment horizontal="left" indent="3"/>
    </xf>
    <xf numFmtId="0" fontId="9" fillId="6" borderId="22" xfId="0" applyFont="1" applyFill="1" applyBorder="1" applyAlignment="1">
      <alignment horizontal="left" indent="3"/>
    </xf>
    <xf numFmtId="10" fontId="9" fillId="0" borderId="23" xfId="0" applyNumberFormat="1" applyFont="1" applyBorder="1" applyAlignment="1">
      <alignment horizontal="center"/>
    </xf>
    <xf numFmtId="0" fontId="9" fillId="6" borderId="24" xfId="0" applyFont="1" applyFill="1" applyBorder="1" applyAlignment="1">
      <alignment horizontal="left" indent="3"/>
    </xf>
    <xf numFmtId="0" fontId="9" fillId="6" borderId="25" xfId="0" applyFont="1" applyFill="1" applyBorder="1" applyAlignment="1">
      <alignment horizontal="left" indent="3"/>
    </xf>
    <xf numFmtId="164" fontId="9" fillId="6" borderId="26" xfId="0" applyNumberFormat="1" applyFont="1" applyFill="1" applyBorder="1" applyAlignment="1">
      <alignment horizontal="center"/>
    </xf>
    <xf numFmtId="0" fontId="9" fillId="6" borderId="27" xfId="0" applyFont="1" applyFill="1" applyBorder="1" applyAlignment="1">
      <alignment horizontal="left" indent="3"/>
    </xf>
    <xf numFmtId="0" fontId="9" fillId="6" borderId="28" xfId="0" applyFont="1" applyFill="1" applyBorder="1" applyAlignment="1">
      <alignment horizontal="left" indent="3"/>
    </xf>
    <xf numFmtId="164" fontId="10" fillId="0" borderId="29" xfId="1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0" fontId="10" fillId="0" borderId="23" xfId="2" applyNumberFormat="1" applyFont="1" applyBorder="1" applyAlignment="1">
      <alignment horizontal="center"/>
    </xf>
    <xf numFmtId="0" fontId="12" fillId="7" borderId="21" xfId="0" applyFont="1" applyFill="1" applyBorder="1" applyAlignment="1">
      <alignment horizontal="left" indent="3"/>
    </xf>
    <xf numFmtId="0" fontId="12" fillId="7" borderId="22" xfId="0" applyFont="1" applyFill="1" applyBorder="1" applyAlignment="1">
      <alignment horizontal="left" indent="3"/>
    </xf>
    <xf numFmtId="8" fontId="10" fillId="0" borderId="23" xfId="0" applyNumberFormat="1" applyFont="1" applyBorder="1" applyAlignment="1">
      <alignment horizontal="center"/>
    </xf>
    <xf numFmtId="0" fontId="12" fillId="7" borderId="24" xfId="0" applyFont="1" applyFill="1" applyBorder="1" applyAlignment="1">
      <alignment horizontal="left" indent="3"/>
    </xf>
    <xf numFmtId="0" fontId="12" fillId="7" borderId="25" xfId="0" applyFont="1" applyFill="1" applyBorder="1" applyAlignment="1">
      <alignment horizontal="left" indent="3"/>
    </xf>
    <xf numFmtId="8" fontId="10" fillId="0" borderId="26" xfId="0" applyNumberFormat="1" applyFont="1" applyBorder="1" applyAlignment="1">
      <alignment horizontal="center"/>
    </xf>
    <xf numFmtId="0" fontId="6" fillId="5" borderId="0" xfId="3"/>
    <xf numFmtId="0" fontId="6" fillId="5" borderId="0" xfId="3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/>
    <xf numFmtId="0" fontId="3" fillId="9" borderId="0" xfId="0" applyFont="1" applyFill="1"/>
    <xf numFmtId="0" fontId="3" fillId="9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0" xfId="2" applyFont="1"/>
    <xf numFmtId="9" fontId="6" fillId="5" borderId="0" xfId="2" applyFont="1" applyFill="1"/>
    <xf numFmtId="9" fontId="0" fillId="0" borderId="0" xfId="2" applyFont="1" applyAlignment="1">
      <alignment horizontal="center"/>
    </xf>
    <xf numFmtId="164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APP_Eduardo_Moura!$C$35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APP_Eduardo_Moura!$B$36:$B$41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APP_Eduardo_Moura!$C$36:$C$41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3-43A1-8F9E-E5A0351E5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228600</xdr:colOff>
      <xdr:row>0</xdr:row>
      <xdr:rowOff>83820</xdr:rowOff>
    </xdr:from>
    <xdr:to>
      <xdr:col>3</xdr:col>
      <xdr:colOff>853440</xdr:colOff>
      <xdr:row>8</xdr:row>
      <xdr:rowOff>83820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45DE63-7842-2A01-0497-AE812DCA7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-1053"/>
        <a:stretch>
          <a:fillRect/>
        </a:stretch>
      </xdr:blipFill>
      <xdr:spPr>
        <a:xfrm>
          <a:off x="228600" y="83820"/>
          <a:ext cx="6720840" cy="1463040"/>
        </a:xfrm>
        <a:prstGeom prst="rect">
          <a:avLst/>
        </a:prstGeom>
      </xdr:spPr>
    </xdr:pic>
    <xdr:clientData/>
  </xdr:twoCellAnchor>
  <xdr:twoCellAnchor>
    <xdr:from>
      <xdr:col>0</xdr:col>
      <xdr:colOff>236220</xdr:colOff>
      <xdr:row>42</xdr:row>
      <xdr:rowOff>68580</xdr:rowOff>
    </xdr:from>
    <xdr:to>
      <xdr:col>3</xdr:col>
      <xdr:colOff>1036320</xdr:colOff>
      <xdr:row>57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52862F-25A3-8231-04BA-767B232BF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CDE2-0AD6-4E14-96F3-43C4744F911B}">
  <dimension ref="A10:G53"/>
  <sheetViews>
    <sheetView showGridLines="0" topLeftCell="A29" workbookViewId="0">
      <selection activeCell="C32" sqref="C32"/>
    </sheetView>
  </sheetViews>
  <sheetFormatPr defaultColWidth="0" defaultRowHeight="14.4" x14ac:dyDescent="0.3"/>
  <cols>
    <col min="1" max="1" width="3.6640625" customWidth="1"/>
    <col min="2" max="2" width="50.21875" customWidth="1"/>
    <col min="3" max="3" width="35" customWidth="1"/>
    <col min="4" max="4" width="15.77734375" bestFit="1" customWidth="1"/>
    <col min="5" max="5" width="1.21875" customWidth="1"/>
    <col min="6" max="6" width="3.5546875" hidden="1" customWidth="1"/>
    <col min="7" max="7" width="3.109375" hidden="1" customWidth="1"/>
    <col min="8" max="11" width="8.88671875" hidden="1" customWidth="1"/>
    <col min="12" max="16384" width="8.88671875" hidden="1"/>
  </cols>
  <sheetData>
    <row r="10" spans="2:4" ht="15" thickBot="1" x14ac:dyDescent="0.35"/>
    <row r="11" spans="2:4" ht="29.4" x14ac:dyDescent="0.3">
      <c r="B11" s="5" t="s">
        <v>15</v>
      </c>
      <c r="C11" s="6"/>
      <c r="D11" s="2"/>
    </row>
    <row r="12" spans="2:4" ht="19.2" x14ac:dyDescent="0.45">
      <c r="B12" s="21" t="s">
        <v>14</v>
      </c>
      <c r="C12" s="22"/>
      <c r="D12" s="23">
        <v>2000</v>
      </c>
    </row>
    <row r="13" spans="2:4" ht="19.2" x14ac:dyDescent="0.45">
      <c r="B13" s="24" t="s">
        <v>13</v>
      </c>
      <c r="C13" s="25"/>
      <c r="D13" s="26">
        <v>6.0000000000000001E-3</v>
      </c>
    </row>
    <row r="14" spans="2:4" ht="19.8" thickBot="1" x14ac:dyDescent="0.5">
      <c r="B14" s="27" t="s">
        <v>33</v>
      </c>
      <c r="C14" s="28"/>
      <c r="D14" s="29">
        <f>salario*30%</f>
        <v>600</v>
      </c>
    </row>
    <row r="15" spans="2:4" ht="15" thickBot="1" x14ac:dyDescent="0.35"/>
    <row r="16" spans="2:4" ht="27.6" customHeight="1" thickBot="1" x14ac:dyDescent="0.35">
      <c r="B16" s="7" t="s">
        <v>5</v>
      </c>
      <c r="C16" s="8"/>
      <c r="D16" s="4"/>
    </row>
    <row r="17" spans="1:4" ht="19.2" x14ac:dyDescent="0.45">
      <c r="B17" s="30" t="s">
        <v>0</v>
      </c>
      <c r="C17" s="31"/>
      <c r="D17" s="32">
        <v>200</v>
      </c>
    </row>
    <row r="18" spans="1:4" ht="19.2" x14ac:dyDescent="0.45">
      <c r="B18" s="24" t="s">
        <v>1</v>
      </c>
      <c r="C18" s="25"/>
      <c r="D18" s="33">
        <v>5</v>
      </c>
    </row>
    <row r="19" spans="1:4" ht="19.2" x14ac:dyDescent="0.45">
      <c r="B19" s="24" t="s">
        <v>2</v>
      </c>
      <c r="C19" s="25"/>
      <c r="D19" s="34">
        <v>1.0789999999999999E-2</v>
      </c>
    </row>
    <row r="20" spans="1:4" ht="19.2" x14ac:dyDescent="0.45">
      <c r="B20" s="35" t="s">
        <v>3</v>
      </c>
      <c r="C20" s="36"/>
      <c r="D20" s="37">
        <f>FV(taxa_mensal,qtd_anos*12,aporte*-1)</f>
        <v>16755.382799697527</v>
      </c>
    </row>
    <row r="21" spans="1:4" ht="19.8" thickBot="1" x14ac:dyDescent="0.5">
      <c r="B21" s="38" t="s">
        <v>4</v>
      </c>
      <c r="C21" s="39"/>
      <c r="D21" s="40">
        <f>patrimonio*rendimento_carteira</f>
        <v>100.53229679818516</v>
      </c>
    </row>
    <row r="22" spans="1:4" ht="15" thickBot="1" x14ac:dyDescent="0.35"/>
    <row r="23" spans="1:4" ht="30" thickBot="1" x14ac:dyDescent="0.35">
      <c r="B23" s="9" t="s">
        <v>11</v>
      </c>
      <c r="C23" s="10"/>
      <c r="D23" s="11" t="s">
        <v>12</v>
      </c>
    </row>
    <row r="24" spans="1:4" ht="19.2" x14ac:dyDescent="0.45">
      <c r="A24" s="1">
        <v>2</v>
      </c>
      <c r="B24" s="12" t="s">
        <v>6</v>
      </c>
      <c r="C24" s="13">
        <f>FV($D$19,$A24*12,$D$17*-1)</f>
        <v>5445.5254595290435</v>
      </c>
      <c r="D24" s="14">
        <f>C24*rendimento_carteira</f>
        <v>32.673152757174265</v>
      </c>
    </row>
    <row r="25" spans="1:4" ht="19.2" x14ac:dyDescent="0.45">
      <c r="A25" s="1">
        <v>5</v>
      </c>
      <c r="B25" s="15" t="s">
        <v>7</v>
      </c>
      <c r="C25" s="16">
        <f>FV($D$19,$A25*12,$D$17*-1)</f>
        <v>16755.382799697527</v>
      </c>
      <c r="D25" s="17">
        <f>C25*rendimento_carteira</f>
        <v>100.53229679818516</v>
      </c>
    </row>
    <row r="26" spans="1:4" ht="19.2" x14ac:dyDescent="0.45">
      <c r="A26" s="1">
        <v>10</v>
      </c>
      <c r="B26" s="15" t="s">
        <v>8</v>
      </c>
      <c r="C26" s="16">
        <f>FV($D$19,$A26*12,$D$17*-1)</f>
        <v>48656.842506034438</v>
      </c>
      <c r="D26" s="17">
        <f>C26*rendimento_carteira</f>
        <v>291.94105503620665</v>
      </c>
    </row>
    <row r="27" spans="1:4" ht="19.2" x14ac:dyDescent="0.45">
      <c r="A27" s="1">
        <v>20</v>
      </c>
      <c r="B27" s="15" t="s">
        <v>9</v>
      </c>
      <c r="C27" s="16">
        <f>FV($D$19,$A27*12,$D$17*-1)</f>
        <v>225039.68001941612</v>
      </c>
      <c r="D27" s="17">
        <f>C27*rendimento_carteira</f>
        <v>1350.2380801164968</v>
      </c>
    </row>
    <row r="28" spans="1:4" ht="19.8" thickBot="1" x14ac:dyDescent="0.5">
      <c r="A28" s="1">
        <v>30</v>
      </c>
      <c r="B28" s="18" t="s">
        <v>10</v>
      </c>
      <c r="C28" s="19">
        <f>FV($D$19,$A28*12,$D$17*-1)</f>
        <v>864433.93100094295</v>
      </c>
      <c r="D28" s="20">
        <f>C28*rendimento_carteira</f>
        <v>5186.6035860056581</v>
      </c>
    </row>
    <row r="32" spans="1:4" x14ac:dyDescent="0.3">
      <c r="B32" s="41" t="s">
        <v>20</v>
      </c>
      <c r="C32" s="42" t="s">
        <v>17</v>
      </c>
      <c r="D32" s="41"/>
    </row>
    <row r="33" spans="2:4" x14ac:dyDescent="0.3">
      <c r="B33" s="43" t="s">
        <v>19</v>
      </c>
      <c r="C33" s="44">
        <f>aporte</f>
        <v>200</v>
      </c>
      <c r="D33" s="43"/>
    </row>
    <row r="35" spans="2:4" x14ac:dyDescent="0.3">
      <c r="B35" s="45" t="s">
        <v>21</v>
      </c>
      <c r="C35" s="45" t="s">
        <v>22</v>
      </c>
      <c r="D35" s="45" t="s">
        <v>23</v>
      </c>
    </row>
    <row r="36" spans="2:4" x14ac:dyDescent="0.3">
      <c r="B36" s="3" t="s">
        <v>24</v>
      </c>
      <c r="C36" s="55">
        <f>VLOOKUP($C$32&amp;"-"&amp;B36,Planilha_Apoio_Eduardo_Moura!$A:$D,4,FALSE)</f>
        <v>0.32</v>
      </c>
      <c r="D36" s="56">
        <f>$C$33*C36</f>
        <v>64</v>
      </c>
    </row>
    <row r="37" spans="2:4" x14ac:dyDescent="0.3">
      <c r="B37" s="3" t="s">
        <v>25</v>
      </c>
      <c r="C37" s="55">
        <f>VLOOKUP($C$32&amp;"-"&amp;B37,Planilha_Apoio_Eduardo_Moura!$A:$D,4,FALSE)</f>
        <v>0.35</v>
      </c>
      <c r="D37" s="56">
        <f t="shared" ref="D37:D41" si="0">$C$33*C37</f>
        <v>70</v>
      </c>
    </row>
    <row r="38" spans="2:4" x14ac:dyDescent="0.3">
      <c r="B38" s="3" t="s">
        <v>31</v>
      </c>
      <c r="C38" s="55">
        <f>VLOOKUP($C$32&amp;"-"&amp;B38,Planilha_Apoio_Eduardo_Moura!$A:$D,4,FALSE)</f>
        <v>0.08</v>
      </c>
      <c r="D38" s="56">
        <f t="shared" si="0"/>
        <v>16</v>
      </c>
    </row>
    <row r="39" spans="2:4" x14ac:dyDescent="0.3">
      <c r="B39" s="3" t="s">
        <v>26</v>
      </c>
      <c r="C39" s="55">
        <f>VLOOKUP($C$32&amp;"-"&amp;B39,Planilha_Apoio_Eduardo_Moura!$A:$D,4,FALSE)</f>
        <v>0.05</v>
      </c>
      <c r="D39" s="56">
        <f t="shared" si="0"/>
        <v>10</v>
      </c>
    </row>
    <row r="40" spans="2:4" x14ac:dyDescent="0.3">
      <c r="B40" s="3" t="s">
        <v>27</v>
      </c>
      <c r="C40" s="55">
        <f>VLOOKUP($C$32&amp;"-"&amp;B40,Planilha_Apoio_Eduardo_Moura!$A:$D,4,FALSE)</f>
        <v>0.1</v>
      </c>
      <c r="D40" s="56">
        <f t="shared" si="0"/>
        <v>20</v>
      </c>
    </row>
    <row r="41" spans="2:4" x14ac:dyDescent="0.3">
      <c r="B41" s="3" t="s">
        <v>28</v>
      </c>
      <c r="C41" s="55">
        <f>VLOOKUP($C$32&amp;"-"&amp;B41,Planilha_Apoio_Eduardo_Moura!$A:$D,4,FALSE)</f>
        <v>0.1</v>
      </c>
      <c r="D41" s="56">
        <f t="shared" si="0"/>
        <v>20</v>
      </c>
    </row>
    <row r="42" spans="2:4" x14ac:dyDescent="0.3">
      <c r="B42" s="46"/>
      <c r="C42" s="46"/>
      <c r="D42" s="46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</sheetData>
  <mergeCells count="11">
    <mergeCell ref="B16:C16"/>
    <mergeCell ref="B23:C23"/>
    <mergeCell ref="B11:C11"/>
    <mergeCell ref="B17:C17"/>
    <mergeCell ref="B18:C18"/>
    <mergeCell ref="B19:C19"/>
    <mergeCell ref="B20:C20"/>
    <mergeCell ref="B21:C21"/>
    <mergeCell ref="B13:C13"/>
    <mergeCell ref="B12:C12"/>
    <mergeCell ref="B14:C14"/>
  </mergeCells>
  <dataValidations count="1">
    <dataValidation type="list" allowBlank="1" showInputMessage="1" showErrorMessage="1" sqref="C32" xr:uid="{17B2B3C1-25A3-4392-92F2-232DE0EE05E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13DE-9391-4B54-92EA-DB12113F76DC}">
  <dimension ref="A2:H20"/>
  <sheetViews>
    <sheetView tabSelected="1" workbookViewId="0">
      <selection activeCell="C6" sqref="C6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4" max="4" width="4.5546875" bestFit="1" customWidth="1"/>
    <col min="7" max="7" width="17.33203125" bestFit="1" customWidth="1"/>
  </cols>
  <sheetData>
    <row r="2" spans="1:8" x14ac:dyDescent="0.3">
      <c r="A2" s="47" t="s">
        <v>29</v>
      </c>
      <c r="B2" s="47" t="s">
        <v>20</v>
      </c>
      <c r="C2" s="48" t="s">
        <v>21</v>
      </c>
      <c r="D2" s="48" t="s">
        <v>30</v>
      </c>
    </row>
    <row r="3" spans="1:8" x14ac:dyDescent="0.3">
      <c r="A3" t="str">
        <f>B3&amp;"-"&amp;C3</f>
        <v>Conservador-PAPEL</v>
      </c>
      <c r="B3" t="s">
        <v>16</v>
      </c>
      <c r="C3" s="3" t="s">
        <v>24</v>
      </c>
      <c r="D3" s="49">
        <v>0.3</v>
      </c>
      <c r="H3" t="s">
        <v>30</v>
      </c>
    </row>
    <row r="4" spans="1:8" x14ac:dyDescent="0.3">
      <c r="A4" t="str">
        <f t="shared" ref="A4:A20" si="0">B4&amp;"-"&amp;C4</f>
        <v>Conservador-TIJOLO</v>
      </c>
      <c r="B4" t="s">
        <v>16</v>
      </c>
      <c r="C4" s="3" t="s">
        <v>25</v>
      </c>
      <c r="D4" s="49">
        <v>0.5</v>
      </c>
      <c r="G4" s="41" t="s">
        <v>32</v>
      </c>
      <c r="H4" s="54">
        <f>VLOOKUP(A10,$A:$D,4,FALSE)</f>
        <v>0.35</v>
      </c>
    </row>
    <row r="5" spans="1:8" x14ac:dyDescent="0.3">
      <c r="A5" t="str">
        <f t="shared" si="0"/>
        <v>Conservador-HÍBRIDOS</v>
      </c>
      <c r="B5" t="s">
        <v>16</v>
      </c>
      <c r="C5" s="3" t="s">
        <v>31</v>
      </c>
      <c r="D5" s="49">
        <v>0.1</v>
      </c>
      <c r="H5" s="53"/>
    </row>
    <row r="6" spans="1:8" x14ac:dyDescent="0.3">
      <c r="A6" t="str">
        <f t="shared" si="0"/>
        <v>Conservador-FOFs</v>
      </c>
      <c r="B6" t="s">
        <v>16</v>
      </c>
      <c r="C6" s="3" t="s">
        <v>26</v>
      </c>
      <c r="D6" s="49">
        <v>0.1</v>
      </c>
    </row>
    <row r="7" spans="1:8" x14ac:dyDescent="0.3">
      <c r="A7" t="str">
        <f t="shared" si="0"/>
        <v>Conservador-DESENVOLVIMENTO</v>
      </c>
      <c r="B7" t="s">
        <v>16</v>
      </c>
      <c r="C7" s="3" t="s">
        <v>27</v>
      </c>
      <c r="D7" s="49">
        <v>0</v>
      </c>
    </row>
    <row r="8" spans="1:8" ht="15" thickBot="1" x14ac:dyDescent="0.35">
      <c r="A8" s="50" t="str">
        <f t="shared" si="0"/>
        <v>Conservador-HOTELARIAS</v>
      </c>
      <c r="B8" s="50" t="s">
        <v>16</v>
      </c>
      <c r="C8" s="51" t="s">
        <v>28</v>
      </c>
      <c r="D8" s="52">
        <v>0</v>
      </c>
    </row>
    <row r="9" spans="1:8" x14ac:dyDescent="0.3">
      <c r="A9" t="str">
        <f t="shared" si="0"/>
        <v>Moderado-PAPEL</v>
      </c>
      <c r="B9" t="s">
        <v>17</v>
      </c>
      <c r="C9" s="3" t="s">
        <v>24</v>
      </c>
      <c r="D9" s="49">
        <v>0.32</v>
      </c>
    </row>
    <row r="10" spans="1:8" x14ac:dyDescent="0.3">
      <c r="A10" s="57" t="str">
        <f t="shared" si="0"/>
        <v>Moderado-TIJOLO</v>
      </c>
      <c r="B10" s="57" t="s">
        <v>17</v>
      </c>
      <c r="C10" s="58" t="s">
        <v>25</v>
      </c>
      <c r="D10" s="59">
        <v>0.35</v>
      </c>
    </row>
    <row r="11" spans="1:8" x14ac:dyDescent="0.3">
      <c r="A11" t="str">
        <f t="shared" si="0"/>
        <v>Moderado-HÍBRIDOS</v>
      </c>
      <c r="B11" t="s">
        <v>17</v>
      </c>
      <c r="C11" s="3" t="s">
        <v>31</v>
      </c>
      <c r="D11" s="49">
        <v>0.08</v>
      </c>
    </row>
    <row r="12" spans="1:8" x14ac:dyDescent="0.3">
      <c r="A12" t="str">
        <f t="shared" si="0"/>
        <v>Moderado-FOFs</v>
      </c>
      <c r="B12" t="s">
        <v>17</v>
      </c>
      <c r="C12" s="3" t="s">
        <v>26</v>
      </c>
      <c r="D12" s="49">
        <v>0.05</v>
      </c>
    </row>
    <row r="13" spans="1:8" x14ac:dyDescent="0.3">
      <c r="A13" t="str">
        <f t="shared" si="0"/>
        <v>Moderado-DESENVOLVIMENTO</v>
      </c>
      <c r="B13" t="s">
        <v>17</v>
      </c>
      <c r="C13" s="3" t="s">
        <v>27</v>
      </c>
      <c r="D13" s="49">
        <v>0.1</v>
      </c>
    </row>
    <row r="14" spans="1:8" ht="15" thickBot="1" x14ac:dyDescent="0.35">
      <c r="A14" s="50" t="str">
        <f t="shared" si="0"/>
        <v>Moderado-HOTELARIAS</v>
      </c>
      <c r="B14" s="50" t="s">
        <v>17</v>
      </c>
      <c r="C14" s="51" t="s">
        <v>28</v>
      </c>
      <c r="D14" s="52">
        <v>0.1</v>
      </c>
    </row>
    <row r="15" spans="1:8" x14ac:dyDescent="0.3">
      <c r="A15" t="str">
        <f t="shared" si="0"/>
        <v>Agressivo-PAPEL</v>
      </c>
      <c r="B15" t="s">
        <v>18</v>
      </c>
      <c r="C15" s="3" t="s">
        <v>24</v>
      </c>
      <c r="D15" s="49">
        <v>0.5</v>
      </c>
    </row>
    <row r="16" spans="1:8" x14ac:dyDescent="0.3">
      <c r="A16" t="str">
        <f t="shared" si="0"/>
        <v>Agressivo-TIJOLO</v>
      </c>
      <c r="B16" t="s">
        <v>18</v>
      </c>
      <c r="C16" s="3" t="s">
        <v>25</v>
      </c>
      <c r="D16" s="49">
        <v>0.1</v>
      </c>
    </row>
    <row r="17" spans="1:4" x14ac:dyDescent="0.3">
      <c r="A17" t="str">
        <f t="shared" si="0"/>
        <v>Agressivo-HÍBRIDOS</v>
      </c>
      <c r="B17" t="s">
        <v>18</v>
      </c>
      <c r="C17" s="3" t="s">
        <v>31</v>
      </c>
      <c r="D17" s="49">
        <v>0.05</v>
      </c>
    </row>
    <row r="18" spans="1:4" x14ac:dyDescent="0.3">
      <c r="A18" t="str">
        <f t="shared" si="0"/>
        <v>Agressivo-FOFs</v>
      </c>
      <c r="B18" t="s">
        <v>18</v>
      </c>
      <c r="C18" s="3" t="s">
        <v>26</v>
      </c>
      <c r="D18" s="49">
        <v>0.05</v>
      </c>
    </row>
    <row r="19" spans="1:4" x14ac:dyDescent="0.3">
      <c r="A19" t="str">
        <f t="shared" si="0"/>
        <v>Agressivo-DESENVOLVIMENTO</v>
      </c>
      <c r="B19" t="s">
        <v>18</v>
      </c>
      <c r="C19" s="3" t="s">
        <v>27</v>
      </c>
      <c r="D19" s="49">
        <v>0.2</v>
      </c>
    </row>
    <row r="20" spans="1:4" x14ac:dyDescent="0.3">
      <c r="A20" t="str">
        <f t="shared" si="0"/>
        <v>Agressivo-HOTELARIAS</v>
      </c>
      <c r="B20" t="s">
        <v>18</v>
      </c>
      <c r="C20" s="3" t="s">
        <v>28</v>
      </c>
      <c r="D20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APP_Eduardo_Moura</vt:lpstr>
      <vt:lpstr>Planilha_Apoio_Eduardo_Moura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lima</dc:creator>
  <cp:lastModifiedBy>eduardo lima</cp:lastModifiedBy>
  <dcterms:created xsi:type="dcterms:W3CDTF">2026-02-02T10:13:08Z</dcterms:created>
  <dcterms:modified xsi:type="dcterms:W3CDTF">2026-02-03T11:08:13Z</dcterms:modified>
</cp:coreProperties>
</file>